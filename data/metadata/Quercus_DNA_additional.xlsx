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https://missouribotanicalgarden.sharepoint.com/sites/IMLSNationalLeadershipGrant20232/Shared Documents/General/Manuscript/Quercus/"/>
    </mc:Choice>
  </mc:AlternateContent>
  <xr:revisionPtr revIDLastSave="207" documentId="8_{60117A25-DE2F-414C-963A-CBC2EA86520E}" xr6:coauthVersionLast="47" xr6:coauthVersionMax="47" xr10:uidLastSave="{3458740B-E770-1C4B-BFD8-0EC5AEDF6052}"/>
  <bookViews>
    <workbookView xWindow="0" yWindow="500" windowWidth="34560" windowHeight="196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Sheet1!$A$1:$BC$61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2" i="1"/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2" i="1"/>
  <c r="H3" i="1"/>
  <c r="H24" i="1"/>
</calcChain>
</file>

<file path=xl/sharedStrings.xml><?xml version="1.0" encoding="utf-8"?>
<sst xmlns="http://schemas.openxmlformats.org/spreadsheetml/2006/main" count="421" uniqueCount="158">
  <si>
    <t>Number</t>
  </si>
  <si>
    <t>Id</t>
  </si>
  <si>
    <t>Accession</t>
  </si>
  <si>
    <t>Planting</t>
  </si>
  <si>
    <t>Taxon</t>
  </si>
  <si>
    <t>1986-0318</t>
  </si>
  <si>
    <t xml:space="preserve">Quercus falcata </t>
  </si>
  <si>
    <t>1969-6066</t>
  </si>
  <si>
    <t>1986-0317</t>
  </si>
  <si>
    <t>2022-0709-2</t>
  </si>
  <si>
    <t>2022-0709-3</t>
  </si>
  <si>
    <t>2022-0709-4</t>
  </si>
  <si>
    <t>2022-0709-5</t>
  </si>
  <si>
    <t>2017-2887</t>
  </si>
  <si>
    <t xml:space="preserve">Quercus hemisphaerica </t>
  </si>
  <si>
    <t>2017-2888</t>
  </si>
  <si>
    <t xml:space="preserve">Quercus incana </t>
  </si>
  <si>
    <t>2021-2064</t>
  </si>
  <si>
    <t xml:space="preserve">Quercus marilandica </t>
  </si>
  <si>
    <t>2017-2892</t>
  </si>
  <si>
    <t xml:space="preserve">Quercus myrtifolia </t>
  </si>
  <si>
    <t>1996-1149</t>
  </si>
  <si>
    <t xml:space="preserve">Quercus phellos </t>
  </si>
  <si>
    <t>2006-0682</t>
  </si>
  <si>
    <t>2010-0518</t>
  </si>
  <si>
    <t>2017-2896</t>
  </si>
  <si>
    <t>2013-0696</t>
  </si>
  <si>
    <t>2021-2060-2</t>
  </si>
  <si>
    <t>Quercus rubra</t>
  </si>
  <si>
    <t>1977-3245</t>
  </si>
  <si>
    <t xml:space="preserve">Quercus velutina </t>
  </si>
  <si>
    <t>1969-6086</t>
  </si>
  <si>
    <t>1969-6087</t>
  </si>
  <si>
    <t>1997-2849</t>
  </si>
  <si>
    <t>2022-0699</t>
  </si>
  <si>
    <t>2021-2059-2</t>
  </si>
  <si>
    <t>Quercus imbricana</t>
  </si>
  <si>
    <t>2023-1390-2</t>
  </si>
  <si>
    <t>Quercus nigra</t>
  </si>
  <si>
    <t>2017-2889</t>
  </si>
  <si>
    <t xml:space="preserve">Quercus laevis </t>
  </si>
  <si>
    <t>MO-5211508</t>
  </si>
  <si>
    <t>Hybrid</t>
  </si>
  <si>
    <t>MO-2856316</t>
  </si>
  <si>
    <t>MO-2996836</t>
  </si>
  <si>
    <t>MO-2996853</t>
  </si>
  <si>
    <t>MO-2996852</t>
  </si>
  <si>
    <t>MO-2996854</t>
  </si>
  <si>
    <t>MO-3000480</t>
  </si>
  <si>
    <t>MO-5211464</t>
  </si>
  <si>
    <t>Quercus hemisphaerica</t>
  </si>
  <si>
    <t>MO-5211489</t>
  </si>
  <si>
    <t>MO-5211510</t>
  </si>
  <si>
    <t>MO-5669768</t>
  </si>
  <si>
    <t>Quercus myrtifolia</t>
  </si>
  <si>
    <t>MO-5669800</t>
  </si>
  <si>
    <t>MO-5669801</t>
  </si>
  <si>
    <t>MO-5668190</t>
  </si>
  <si>
    <t>Quercus laevis</t>
  </si>
  <si>
    <t>MO-5668152</t>
  </si>
  <si>
    <t>MO-2440900</t>
  </si>
  <si>
    <t>Quercus phellos</t>
  </si>
  <si>
    <t>MO-2996855</t>
  </si>
  <si>
    <t>MO-3367053</t>
  </si>
  <si>
    <t>MO-3367030</t>
  </si>
  <si>
    <t>MO-5668174</t>
  </si>
  <si>
    <t>MO-5668055</t>
  </si>
  <si>
    <t>Quercus incana</t>
  </si>
  <si>
    <t>MO-5211966</t>
  </si>
  <si>
    <t>MO-5211981</t>
  </si>
  <si>
    <t>MO-5211983</t>
  </si>
  <si>
    <t>KWH_001</t>
  </si>
  <si>
    <t>KWH_002</t>
  </si>
  <si>
    <t>KWH_003</t>
  </si>
  <si>
    <t>JEY_001</t>
  </si>
  <si>
    <t>JEY_002</t>
  </si>
  <si>
    <t>Quercus pagoda</t>
  </si>
  <si>
    <t>Quercus shumardii</t>
  </si>
  <si>
    <t>2003-2822-1</t>
  </si>
  <si>
    <t>1988-1305-1</t>
  </si>
  <si>
    <t>Sample_Name</t>
  </si>
  <si>
    <t>Quercus_378</t>
  </si>
  <si>
    <t>Quercus_379</t>
  </si>
  <si>
    <t>Quercus_380</t>
  </si>
  <si>
    <t>Quercus_381</t>
  </si>
  <si>
    <t>Quercus_382</t>
  </si>
  <si>
    <t>Quercus_383</t>
  </si>
  <si>
    <t>Quercus_384</t>
  </si>
  <si>
    <t>Quercus_385</t>
  </si>
  <si>
    <t>Quercus_386</t>
  </si>
  <si>
    <t>Quercus_387</t>
  </si>
  <si>
    <t>Quercus_388</t>
  </si>
  <si>
    <t>Quercus_389</t>
  </si>
  <si>
    <t>Quercus_390</t>
  </si>
  <si>
    <t>Quercus_391</t>
  </si>
  <si>
    <t>Quercus_392</t>
  </si>
  <si>
    <t>Quercus_393</t>
  </si>
  <si>
    <t>Quercus_394</t>
  </si>
  <si>
    <t>Quercus_395</t>
  </si>
  <si>
    <t>Quercus_396</t>
  </si>
  <si>
    <t>Quercus_397</t>
  </si>
  <si>
    <t>Quercus_398</t>
  </si>
  <si>
    <t>Quercus_399</t>
  </si>
  <si>
    <t>Quercus_400</t>
  </si>
  <si>
    <t>Quercus_401</t>
  </si>
  <si>
    <t>Quercus_402</t>
  </si>
  <si>
    <t>Quercus_403</t>
  </si>
  <si>
    <t>Quercus_404</t>
  </si>
  <si>
    <t>Quercus_405</t>
  </si>
  <si>
    <t>Quercus_406</t>
  </si>
  <si>
    <t>Quercus_407</t>
  </si>
  <si>
    <t>Quercus_408</t>
  </si>
  <si>
    <t>Quercus_409</t>
  </si>
  <si>
    <t>Quercus_410</t>
  </si>
  <si>
    <t>Quercus_411</t>
  </si>
  <si>
    <t>Quercus_412</t>
  </si>
  <si>
    <t>Quercus_413</t>
  </si>
  <si>
    <t>Quercus_414</t>
  </si>
  <si>
    <t>Quercus_415</t>
  </si>
  <si>
    <t>Quercus_416</t>
  </si>
  <si>
    <t>Quercus_417</t>
  </si>
  <si>
    <t>Quercus_418</t>
  </si>
  <si>
    <t>Quercus_419</t>
  </si>
  <si>
    <t>Quercus_420</t>
  </si>
  <si>
    <t>Quercus_421</t>
  </si>
  <si>
    <t>Quercus_422</t>
  </si>
  <si>
    <t>Quercus_423</t>
  </si>
  <si>
    <t>Quercus_424</t>
  </si>
  <si>
    <t>Quercus_425</t>
  </si>
  <si>
    <t>Quercus_426</t>
  </si>
  <si>
    <t>Quercus_427</t>
  </si>
  <si>
    <t>Quercus_428</t>
  </si>
  <si>
    <t>Quercus_429</t>
  </si>
  <si>
    <t>Quercus_430</t>
  </si>
  <si>
    <t>Quercus_431</t>
  </si>
  <si>
    <t>Quercus_432</t>
  </si>
  <si>
    <t>Quercus_433</t>
  </si>
  <si>
    <t>Quercus_434</t>
  </si>
  <si>
    <t>Quercus_435</t>
  </si>
  <si>
    <t>Quercus_436</t>
  </si>
  <si>
    <t>Quercus_437</t>
  </si>
  <si>
    <t>ID</t>
  </si>
  <si>
    <t>Library</t>
  </si>
  <si>
    <t>YES</t>
  </si>
  <si>
    <t>Quality</t>
  </si>
  <si>
    <t>SAD</t>
  </si>
  <si>
    <t>Vaccum</t>
  </si>
  <si>
    <t>Adaptor Dilution</t>
  </si>
  <si>
    <t>No Dilution</t>
  </si>
  <si>
    <t>Sample_Type</t>
  </si>
  <si>
    <t>Fresh</t>
  </si>
  <si>
    <t>Herbarium</t>
  </si>
  <si>
    <t>DNA_V</t>
  </si>
  <si>
    <t>Water</t>
  </si>
  <si>
    <t>1:10</t>
  </si>
  <si>
    <t>DNA_Qubit</t>
  </si>
  <si>
    <t>DNA_Qubit2</t>
  </si>
  <si>
    <t>PCR_Qubit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</si>
</sst>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 (Body)"/>
    </font>
    <font>
      <b/>
      <sz val="11"/>
      <color theme="1"/>
      <name val="Calibri (Body)"/>
    </font>
    <font>
      <sz val="8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sz val="11"/>
      <color theme="0" tint="-0.249977111117893"/>
      <name val="Calibri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2" fillId="0" borderId="0" xfId="0" applyFont="1" applyAlignment="1">
      <alignment horizontal="left"/>
    </xf>
    <xf numFmtId="0" fontId="3" fillId="0" borderId="0" xfId="0" applyFont="1"/>
    <xf numFmtId="0" fontId="1" fillId="0" borderId="0" xfId="0" applyFont="1"/>
    <xf numFmtId="1" fontId="2" fillId="0" borderId="0" xfId="0" applyNumberFormat="1" applyFont="1"/>
    <xf numFmtId="1" fontId="0" fillId="0" borderId="0" xfId="0" applyNumberFormat="1"/>
    <xf numFmtId="1" fontId="5" fillId="0" borderId="0" xfId="0" applyNumberFormat="1" applyFont="1"/>
    <xf numFmtId="0" fontId="5" fillId="0" borderId="1" xfId="0" applyFont="1" applyBorder="1"/>
    <xf numFmtId="0" fontId="5" fillId="0" borderId="1" xfId="0" applyFont="1" applyBorder="1" applyAlignment="1">
      <alignment horizontal="left"/>
    </xf>
    <xf numFmtId="0" fontId="6" fillId="0" borderId="1" xfId="0" applyFont="1" applyBorder="1"/>
    <xf numFmtId="1" fontId="7" fillId="0" borderId="0" xfId="0" applyNumberFormat="1" applyFont="1"/>
    <xf numFmtId="0" fontId="5" fillId="0" borderId="0" xfId="0" applyFont="1"/>
    <xf numFmtId="164" fontId="1" fillId="0" borderId="0" xfId="0" applyNumberFormat="1" applyFont="1"/>
    <xf numFmtId="49" fontId="2" fillId="0" borderId="0" xfId="0" applyNumberFormat="1" applyFont="1"/>
    <xf numFmtId="49" fontId="1" fillId="0" borderId="0" xfId="0" applyNumberFormat="1" applyFont="1"/>
    <xf numFmtId="49" fontId="5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floras.org/florataxon.aspx?flora_id=1&amp;taxon_id=2335010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C61"/>
  <sheetViews>
    <sheetView tabSelected="1" zoomScale="150" workbookViewId="0">
      <pane ySplit="1" topLeftCell="A2" activePane="bottomLeft" state="frozen"/>
      <selection pane="bottomLeft" activeCell="C2" sqref="C2"/>
    </sheetView>
  </sheetViews>
  <sheetFormatPr baseColWidth="10" defaultColWidth="14.5" defaultRowHeight="15" customHeight="1" x14ac:dyDescent="0.2"/>
  <cols>
    <col min="1" max="8" width="14.1640625" style="9" customWidth="1"/>
    <col min="9" max="9" width="14.1640625" style="20" customWidth="1"/>
    <col min="10" max="12" width="14.1640625" style="9" customWidth="1"/>
    <col min="13" max="15" width="14.1640625" customWidth="1"/>
    <col min="16" max="16" width="40.6640625" customWidth="1"/>
    <col min="17" max="17" width="35.83203125" customWidth="1"/>
    <col min="18" max="23" width="14.1640625" customWidth="1"/>
    <col min="24" max="24" width="26.6640625" customWidth="1"/>
    <col min="25" max="55" width="14.1640625" customWidth="1"/>
  </cols>
  <sheetData>
    <row r="1" spans="1:55" s="1" customFormat="1" ht="15" customHeight="1" x14ac:dyDescent="0.2">
      <c r="A1" s="8" t="s">
        <v>0</v>
      </c>
      <c r="B1" s="8" t="s">
        <v>149</v>
      </c>
      <c r="C1" s="8" t="s">
        <v>80</v>
      </c>
      <c r="D1" s="8" t="s">
        <v>157</v>
      </c>
      <c r="E1" s="8" t="s">
        <v>155</v>
      </c>
      <c r="F1" s="8" t="s">
        <v>156</v>
      </c>
      <c r="G1" s="8" t="s">
        <v>152</v>
      </c>
      <c r="H1" s="8" t="s">
        <v>153</v>
      </c>
      <c r="I1" s="17" t="s">
        <v>147</v>
      </c>
      <c r="J1" s="8" t="s">
        <v>144</v>
      </c>
      <c r="K1" s="8" t="s">
        <v>146</v>
      </c>
      <c r="L1" s="8" t="s">
        <v>141</v>
      </c>
      <c r="M1" s="2" t="s">
        <v>1</v>
      </c>
      <c r="N1" s="3" t="s">
        <v>2</v>
      </c>
      <c r="O1" s="2" t="s">
        <v>3</v>
      </c>
      <c r="P1" s="4" t="s">
        <v>4</v>
      </c>
      <c r="Q1" s="2" t="s">
        <v>142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</row>
    <row r="2" spans="1:55" s="1" customFormat="1" ht="15" customHeight="1" x14ac:dyDescent="0.2">
      <c r="A2" s="8">
        <v>1</v>
      </c>
      <c r="B2" s="8" t="s">
        <v>150</v>
      </c>
      <c r="C2" s="7" t="s">
        <v>81</v>
      </c>
      <c r="D2" s="7"/>
      <c r="E2" s="7">
        <v>84</v>
      </c>
      <c r="F2" s="7"/>
      <c r="G2" s="16">
        <f>260/E2</f>
        <v>3.0952380952380953</v>
      </c>
      <c r="H2" s="16">
        <f>13-G2</f>
        <v>9.9047619047619051</v>
      </c>
      <c r="I2" s="18" t="s">
        <v>148</v>
      </c>
      <c r="J2" s="7"/>
      <c r="K2" s="7"/>
      <c r="L2" s="7">
        <v>378</v>
      </c>
      <c r="M2" s="1">
        <v>1062828</v>
      </c>
      <c r="N2" s="5" t="s">
        <v>7</v>
      </c>
      <c r="O2" s="1">
        <v>1</v>
      </c>
      <c r="P2" s="6" t="s">
        <v>6</v>
      </c>
      <c r="Q2" s="1" t="s">
        <v>143</v>
      </c>
    </row>
    <row r="3" spans="1:55" s="1" customFormat="1" ht="15" customHeight="1" x14ac:dyDescent="0.2">
      <c r="A3" s="8">
        <v>2</v>
      </c>
      <c r="B3" s="8" t="s">
        <v>150</v>
      </c>
      <c r="C3" s="7" t="s">
        <v>82</v>
      </c>
      <c r="D3" s="7"/>
      <c r="E3" s="7">
        <v>73.400000000000006</v>
      </c>
      <c r="F3" s="7"/>
      <c r="G3" s="16">
        <f t="shared" ref="G3:G37" si="0">260/E3</f>
        <v>3.542234332425068</v>
      </c>
      <c r="H3" s="16">
        <f t="shared" ref="H3:H37" si="1">13-G3</f>
        <v>9.4577656675749324</v>
      </c>
      <c r="I3" s="18" t="s">
        <v>148</v>
      </c>
      <c r="J3" s="7"/>
      <c r="K3" s="7"/>
      <c r="L3" s="7">
        <v>379</v>
      </c>
      <c r="M3" s="1">
        <v>1083507</v>
      </c>
      <c r="N3" s="5" t="s">
        <v>8</v>
      </c>
      <c r="O3" s="1">
        <v>1</v>
      </c>
      <c r="P3" s="6" t="s">
        <v>6</v>
      </c>
      <c r="Q3" s="1" t="s">
        <v>143</v>
      </c>
    </row>
    <row r="4" spans="1:55" s="1" customFormat="1" ht="15.75" customHeight="1" x14ac:dyDescent="0.2">
      <c r="A4" s="8">
        <v>3</v>
      </c>
      <c r="B4" s="8" t="s">
        <v>150</v>
      </c>
      <c r="C4" s="7" t="s">
        <v>83</v>
      </c>
      <c r="D4" s="7"/>
      <c r="E4" s="7">
        <v>147</v>
      </c>
      <c r="F4" s="7"/>
      <c r="G4" s="16">
        <f t="shared" si="0"/>
        <v>1.7687074829931972</v>
      </c>
      <c r="H4" s="16">
        <f t="shared" si="1"/>
        <v>11.231292517006803</v>
      </c>
      <c r="I4" s="18" t="s">
        <v>148</v>
      </c>
      <c r="J4" s="7"/>
      <c r="K4" s="7"/>
      <c r="L4" s="7">
        <v>380</v>
      </c>
      <c r="M4" s="2">
        <v>1083508</v>
      </c>
      <c r="N4" s="3" t="s">
        <v>5</v>
      </c>
      <c r="O4" s="2">
        <v>1</v>
      </c>
      <c r="P4" s="4" t="s">
        <v>6</v>
      </c>
      <c r="Q4" s="1" t="s">
        <v>143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</row>
    <row r="5" spans="1:55" s="1" customFormat="1" ht="15.75" customHeight="1" x14ac:dyDescent="0.2">
      <c r="A5" s="8">
        <v>4</v>
      </c>
      <c r="B5" s="8" t="s">
        <v>150</v>
      </c>
      <c r="C5" s="7" t="s">
        <v>84</v>
      </c>
      <c r="D5" s="7"/>
      <c r="E5" s="7">
        <v>122</v>
      </c>
      <c r="F5" s="7"/>
      <c r="G5" s="16">
        <f t="shared" si="0"/>
        <v>2.1311475409836067</v>
      </c>
      <c r="H5" s="16">
        <f t="shared" si="1"/>
        <v>10.868852459016393</v>
      </c>
      <c r="I5" s="18" t="s">
        <v>148</v>
      </c>
      <c r="J5" s="7"/>
      <c r="K5" s="7"/>
      <c r="L5" s="7">
        <v>381</v>
      </c>
      <c r="M5" s="2"/>
      <c r="N5" s="3" t="s">
        <v>9</v>
      </c>
      <c r="O5" s="2">
        <v>1</v>
      </c>
      <c r="P5" s="4" t="s">
        <v>6</v>
      </c>
      <c r="Q5" s="1" t="s">
        <v>143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</row>
    <row r="6" spans="1:55" s="1" customFormat="1" ht="15.75" customHeight="1" x14ac:dyDescent="0.2">
      <c r="A6" s="10">
        <v>5</v>
      </c>
      <c r="B6" s="8" t="s">
        <v>150</v>
      </c>
      <c r="C6" s="7" t="s">
        <v>85</v>
      </c>
      <c r="D6" s="7"/>
      <c r="E6" s="7">
        <v>295</v>
      </c>
      <c r="F6" s="7"/>
      <c r="G6" s="16">
        <f t="shared" si="0"/>
        <v>0.88135593220338981</v>
      </c>
      <c r="H6" s="16">
        <f t="shared" si="1"/>
        <v>12.118644067796611</v>
      </c>
      <c r="I6" s="18" t="s">
        <v>148</v>
      </c>
      <c r="J6" s="7"/>
      <c r="K6" s="7"/>
      <c r="L6" s="7">
        <v>382</v>
      </c>
      <c r="M6" s="11"/>
      <c r="N6" s="12" t="s">
        <v>10</v>
      </c>
      <c r="O6" s="11">
        <v>2</v>
      </c>
      <c r="P6" s="13" t="s">
        <v>6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</row>
    <row r="7" spans="1:55" s="1" customFormat="1" ht="15.75" customHeight="1" x14ac:dyDescent="0.2">
      <c r="A7" s="10">
        <v>6</v>
      </c>
      <c r="B7" s="8" t="s">
        <v>150</v>
      </c>
      <c r="C7" s="7" t="s">
        <v>86</v>
      </c>
      <c r="D7" s="7"/>
      <c r="E7" s="7">
        <v>133</v>
      </c>
      <c r="F7" s="7"/>
      <c r="G7" s="16">
        <f t="shared" si="0"/>
        <v>1.9548872180451127</v>
      </c>
      <c r="H7" s="16">
        <f t="shared" si="1"/>
        <v>11.045112781954888</v>
      </c>
      <c r="I7" s="18" t="s">
        <v>148</v>
      </c>
      <c r="J7" s="7"/>
      <c r="K7" s="7"/>
      <c r="L7" s="7">
        <v>383</v>
      </c>
      <c r="M7" s="11"/>
      <c r="N7" s="12" t="s">
        <v>11</v>
      </c>
      <c r="O7" s="11">
        <v>3</v>
      </c>
      <c r="P7" s="13" t="s">
        <v>6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</row>
    <row r="8" spans="1:55" s="1" customFormat="1" ht="15.75" customHeight="1" x14ac:dyDescent="0.2">
      <c r="A8" s="10">
        <v>7</v>
      </c>
      <c r="B8" s="8" t="s">
        <v>150</v>
      </c>
      <c r="C8" s="7" t="s">
        <v>87</v>
      </c>
      <c r="D8" s="7"/>
      <c r="E8" s="7">
        <v>232</v>
      </c>
      <c r="F8" s="7"/>
      <c r="G8" s="16">
        <f t="shared" si="0"/>
        <v>1.1206896551724137</v>
      </c>
      <c r="H8" s="16">
        <f t="shared" si="1"/>
        <v>11.879310344827587</v>
      </c>
      <c r="I8" s="18" t="s">
        <v>148</v>
      </c>
      <c r="J8" s="7"/>
      <c r="K8" s="7"/>
      <c r="L8" s="7">
        <v>384</v>
      </c>
      <c r="M8" s="11"/>
      <c r="N8" s="12" t="s">
        <v>12</v>
      </c>
      <c r="O8" s="11">
        <v>4</v>
      </c>
      <c r="P8" s="13" t="s">
        <v>6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</row>
    <row r="9" spans="1:55" s="1" customFormat="1" ht="15.75" customHeight="1" x14ac:dyDescent="0.2">
      <c r="A9" s="8">
        <v>8</v>
      </c>
      <c r="B9" s="8" t="s">
        <v>150</v>
      </c>
      <c r="C9" s="7" t="s">
        <v>88</v>
      </c>
      <c r="D9" s="7"/>
      <c r="E9" s="7">
        <v>136</v>
      </c>
      <c r="F9" s="7"/>
      <c r="G9" s="16">
        <f t="shared" si="0"/>
        <v>1.911764705882353</v>
      </c>
      <c r="H9" s="16">
        <f t="shared" si="1"/>
        <v>11.088235294117647</v>
      </c>
      <c r="I9" s="18" t="s">
        <v>148</v>
      </c>
      <c r="J9" s="7"/>
      <c r="K9" s="7"/>
      <c r="L9" s="7">
        <v>385</v>
      </c>
      <c r="M9" s="2">
        <v>1271479</v>
      </c>
      <c r="N9" s="3" t="s">
        <v>13</v>
      </c>
      <c r="O9" s="2">
        <v>4</v>
      </c>
      <c r="P9" s="4" t="s">
        <v>14</v>
      </c>
      <c r="Q9" s="1" t="s">
        <v>143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</row>
    <row r="10" spans="1:55" s="1" customFormat="1" ht="15.75" customHeight="1" x14ac:dyDescent="0.2">
      <c r="A10" s="8">
        <v>9</v>
      </c>
      <c r="B10" s="8" t="s">
        <v>150</v>
      </c>
      <c r="C10" s="7" t="s">
        <v>89</v>
      </c>
      <c r="D10" s="7"/>
      <c r="E10" s="7">
        <v>67.7</v>
      </c>
      <c r="F10" s="7"/>
      <c r="G10" s="16">
        <f t="shared" si="0"/>
        <v>3.8404726735598227</v>
      </c>
      <c r="H10" s="16">
        <f t="shared" si="1"/>
        <v>9.1595273264401769</v>
      </c>
      <c r="I10" s="18" t="s">
        <v>148</v>
      </c>
      <c r="J10" s="7"/>
      <c r="K10" s="7"/>
      <c r="L10" s="7">
        <v>386</v>
      </c>
      <c r="M10" s="2">
        <v>1270389</v>
      </c>
      <c r="N10" s="3" t="s">
        <v>15</v>
      </c>
      <c r="O10" s="2">
        <v>3</v>
      </c>
      <c r="P10" s="4" t="s">
        <v>16</v>
      </c>
      <c r="Q10" s="1" t="s">
        <v>143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</row>
    <row r="11" spans="1:55" s="1" customFormat="1" ht="15.75" customHeight="1" x14ac:dyDescent="0.2">
      <c r="A11" s="8">
        <v>10</v>
      </c>
      <c r="B11" s="8" t="s">
        <v>150</v>
      </c>
      <c r="C11" s="7" t="s">
        <v>90</v>
      </c>
      <c r="D11" s="7"/>
      <c r="E11" s="7">
        <v>130</v>
      </c>
      <c r="F11" s="7"/>
      <c r="G11" s="16">
        <f t="shared" si="0"/>
        <v>2</v>
      </c>
      <c r="H11" s="16">
        <f t="shared" si="1"/>
        <v>11</v>
      </c>
      <c r="I11" s="18" t="s">
        <v>148</v>
      </c>
      <c r="J11" s="7"/>
      <c r="K11" s="7"/>
      <c r="L11" s="7">
        <v>387</v>
      </c>
      <c r="M11" s="2">
        <v>1301146</v>
      </c>
      <c r="N11" s="3" t="s">
        <v>17</v>
      </c>
      <c r="O11" s="2">
        <v>5</v>
      </c>
      <c r="P11" s="4" t="s">
        <v>18</v>
      </c>
      <c r="Q11" s="1" t="s">
        <v>143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</row>
    <row r="12" spans="1:55" s="1" customFormat="1" ht="15.75" customHeight="1" x14ac:dyDescent="0.2">
      <c r="A12" s="8">
        <v>11</v>
      </c>
      <c r="B12" s="8" t="s">
        <v>150</v>
      </c>
      <c r="C12" s="7" t="s">
        <v>91</v>
      </c>
      <c r="D12" s="7"/>
      <c r="E12" s="7">
        <v>25.9</v>
      </c>
      <c r="F12" s="7"/>
      <c r="G12" s="16">
        <f t="shared" si="0"/>
        <v>10.03861003861004</v>
      </c>
      <c r="H12" s="16">
        <f t="shared" si="1"/>
        <v>2.9613899613899601</v>
      </c>
      <c r="I12" s="18" t="s">
        <v>148</v>
      </c>
      <c r="J12" s="7"/>
      <c r="K12" s="7"/>
      <c r="L12" s="7">
        <v>388</v>
      </c>
      <c r="M12" s="2">
        <v>1274130</v>
      </c>
      <c r="N12" s="3" t="s">
        <v>19</v>
      </c>
      <c r="O12" s="2">
        <v>3</v>
      </c>
      <c r="P12" s="4" t="s">
        <v>20</v>
      </c>
      <c r="Q12" s="1" t="s">
        <v>143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</row>
    <row r="13" spans="1:55" s="1" customFormat="1" ht="15.75" customHeight="1" x14ac:dyDescent="0.2">
      <c r="A13" s="8">
        <v>12</v>
      </c>
      <c r="B13" s="8" t="s">
        <v>150</v>
      </c>
      <c r="C13" s="7" t="s">
        <v>92</v>
      </c>
      <c r="D13" s="7"/>
      <c r="E13" s="7">
        <v>131</v>
      </c>
      <c r="F13" s="7"/>
      <c r="G13" s="16">
        <f t="shared" si="0"/>
        <v>1.9847328244274809</v>
      </c>
      <c r="H13" s="16">
        <f t="shared" si="1"/>
        <v>11.01526717557252</v>
      </c>
      <c r="I13" s="18" t="s">
        <v>148</v>
      </c>
      <c r="J13" s="7"/>
      <c r="K13" s="7"/>
      <c r="L13" s="7">
        <v>389</v>
      </c>
      <c r="M13" s="2">
        <v>1124544</v>
      </c>
      <c r="N13" s="3" t="s">
        <v>21</v>
      </c>
      <c r="O13" s="2">
        <v>1</v>
      </c>
      <c r="P13" s="4" t="s">
        <v>22</v>
      </c>
      <c r="Q13" s="1" t="s">
        <v>143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</row>
    <row r="14" spans="1:55" s="1" customFormat="1" ht="15.75" customHeight="1" x14ac:dyDescent="0.2">
      <c r="A14" s="8">
        <v>13</v>
      </c>
      <c r="B14" s="8" t="s">
        <v>150</v>
      </c>
      <c r="C14" s="7" t="s">
        <v>93</v>
      </c>
      <c r="D14" s="7"/>
      <c r="E14">
        <v>42.4</v>
      </c>
      <c r="F14"/>
      <c r="G14" s="16">
        <f t="shared" si="0"/>
        <v>6.1320754716981138</v>
      </c>
      <c r="H14" s="16">
        <f t="shared" si="1"/>
        <v>6.8679245283018862</v>
      </c>
      <c r="I14" s="18" t="s">
        <v>148</v>
      </c>
      <c r="J14"/>
      <c r="K14"/>
      <c r="L14" s="7">
        <v>390</v>
      </c>
      <c r="M14" s="2">
        <v>1157185</v>
      </c>
      <c r="N14" s="3" t="s">
        <v>23</v>
      </c>
      <c r="O14" s="2">
        <v>1</v>
      </c>
      <c r="P14" s="4" t="s">
        <v>22</v>
      </c>
      <c r="Q14" s="1" t="s">
        <v>143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</row>
    <row r="15" spans="1:55" s="1" customFormat="1" ht="15.75" customHeight="1" x14ac:dyDescent="0.2">
      <c r="A15" s="8">
        <v>14</v>
      </c>
      <c r="B15" s="8" t="s">
        <v>150</v>
      </c>
      <c r="C15" s="7" t="s">
        <v>94</v>
      </c>
      <c r="D15" s="7"/>
      <c r="E15">
        <v>66.2</v>
      </c>
      <c r="F15"/>
      <c r="G15" s="16">
        <f t="shared" si="0"/>
        <v>3.9274924471299091</v>
      </c>
      <c r="H15" s="16">
        <f t="shared" si="1"/>
        <v>9.0725075528700909</v>
      </c>
      <c r="I15" s="18" t="s">
        <v>148</v>
      </c>
      <c r="J15"/>
      <c r="K15"/>
      <c r="L15" s="7">
        <v>391</v>
      </c>
      <c r="M15" s="2">
        <v>1172363</v>
      </c>
      <c r="N15" s="3" t="s">
        <v>24</v>
      </c>
      <c r="O15" s="2">
        <v>1</v>
      </c>
      <c r="P15" s="4" t="s">
        <v>22</v>
      </c>
      <c r="Q15" s="1" t="s">
        <v>143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</row>
    <row r="16" spans="1:55" s="1" customFormat="1" ht="15.75" customHeight="1" x14ac:dyDescent="0.2">
      <c r="A16" s="8">
        <v>15</v>
      </c>
      <c r="B16" s="8" t="s">
        <v>150</v>
      </c>
      <c r="C16" s="7" t="s">
        <v>95</v>
      </c>
      <c r="D16" s="7"/>
      <c r="E16">
        <v>48.4</v>
      </c>
      <c r="F16"/>
      <c r="G16" s="16">
        <f t="shared" si="0"/>
        <v>5.3719008264462813</v>
      </c>
      <c r="H16" s="16">
        <f t="shared" si="1"/>
        <v>7.6280991735537187</v>
      </c>
      <c r="I16" s="18" t="s">
        <v>148</v>
      </c>
      <c r="J16"/>
      <c r="K16"/>
      <c r="L16" s="7">
        <v>392</v>
      </c>
      <c r="M16" s="2">
        <v>1270418</v>
      </c>
      <c r="N16" s="3" t="s">
        <v>25</v>
      </c>
      <c r="O16" s="2">
        <v>4</v>
      </c>
      <c r="P16" s="4" t="s">
        <v>22</v>
      </c>
      <c r="Q16" s="1" t="s">
        <v>143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</row>
    <row r="17" spans="1:55" s="1" customFormat="1" ht="15.75" customHeight="1" x14ac:dyDescent="0.2">
      <c r="A17" s="8">
        <v>16</v>
      </c>
      <c r="B17" s="8" t="s">
        <v>150</v>
      </c>
      <c r="C17" s="7" t="s">
        <v>96</v>
      </c>
      <c r="D17" s="7"/>
      <c r="E17">
        <v>52.6</v>
      </c>
      <c r="F17"/>
      <c r="G17" s="16">
        <f t="shared" si="0"/>
        <v>4.9429657794676807</v>
      </c>
      <c r="H17" s="16">
        <f t="shared" si="1"/>
        <v>8.0570342205323193</v>
      </c>
      <c r="I17" s="18" t="s">
        <v>148</v>
      </c>
      <c r="J17"/>
      <c r="K17"/>
      <c r="L17" s="7">
        <v>393</v>
      </c>
      <c r="M17" s="2">
        <v>1183720</v>
      </c>
      <c r="N17" s="3" t="s">
        <v>26</v>
      </c>
      <c r="O17" s="2">
        <v>1</v>
      </c>
      <c r="P17" s="4" t="s">
        <v>22</v>
      </c>
      <c r="Q17" s="1" t="s">
        <v>143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</row>
    <row r="18" spans="1:55" s="1" customFormat="1" ht="15.75" customHeight="1" x14ac:dyDescent="0.2">
      <c r="A18" s="10">
        <v>17</v>
      </c>
      <c r="B18" s="8" t="s">
        <v>150</v>
      </c>
      <c r="C18" s="7" t="s">
        <v>97</v>
      </c>
      <c r="D18" s="7"/>
      <c r="E18">
        <v>40.5</v>
      </c>
      <c r="F18"/>
      <c r="G18" s="16">
        <f t="shared" si="0"/>
        <v>6.4197530864197532</v>
      </c>
      <c r="H18" s="16">
        <f t="shared" si="1"/>
        <v>6.5802469135802468</v>
      </c>
      <c r="I18" s="18" t="s">
        <v>148</v>
      </c>
      <c r="J18"/>
      <c r="K18"/>
      <c r="L18" s="7">
        <v>394</v>
      </c>
      <c r="M18" s="11">
        <v>1183721</v>
      </c>
      <c r="N18" s="12" t="s">
        <v>26</v>
      </c>
      <c r="O18" s="11">
        <v>2</v>
      </c>
      <c r="P18" s="13" t="s">
        <v>22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</row>
    <row r="19" spans="1:55" s="1" customFormat="1" ht="15.75" customHeight="1" x14ac:dyDescent="0.2">
      <c r="A19" s="10">
        <v>18</v>
      </c>
      <c r="B19" s="8" t="s">
        <v>150</v>
      </c>
      <c r="C19" s="7" t="s">
        <v>98</v>
      </c>
      <c r="D19" s="7"/>
      <c r="E19">
        <v>44</v>
      </c>
      <c r="F19"/>
      <c r="G19" s="16">
        <f t="shared" si="0"/>
        <v>5.9090909090909092</v>
      </c>
      <c r="H19" s="16">
        <f t="shared" si="1"/>
        <v>7.0909090909090908</v>
      </c>
      <c r="I19" s="18" t="s">
        <v>148</v>
      </c>
      <c r="J19"/>
      <c r="K19"/>
      <c r="L19" s="7">
        <v>395</v>
      </c>
      <c r="M19" s="11">
        <v>1183722</v>
      </c>
      <c r="N19" s="12" t="s">
        <v>26</v>
      </c>
      <c r="O19" s="11">
        <v>3</v>
      </c>
      <c r="P19" s="13" t="s">
        <v>22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</row>
    <row r="20" spans="1:55" s="1" customFormat="1" ht="15.75" customHeight="1" x14ac:dyDescent="0.2">
      <c r="A20" s="10">
        <v>19</v>
      </c>
      <c r="B20" s="8" t="s">
        <v>150</v>
      </c>
      <c r="C20" s="7" t="s">
        <v>99</v>
      </c>
      <c r="D20" s="7"/>
      <c r="E20">
        <v>146</v>
      </c>
      <c r="F20"/>
      <c r="G20" s="16">
        <f t="shared" si="0"/>
        <v>1.7808219178082192</v>
      </c>
      <c r="H20" s="16">
        <f t="shared" si="1"/>
        <v>11.219178082191782</v>
      </c>
      <c r="I20" s="18" t="s">
        <v>148</v>
      </c>
      <c r="J20"/>
      <c r="K20"/>
      <c r="L20" s="7">
        <v>396</v>
      </c>
      <c r="M20" s="11"/>
      <c r="N20" s="12" t="s">
        <v>27</v>
      </c>
      <c r="O20" s="11">
        <v>1</v>
      </c>
      <c r="P20" s="13" t="s">
        <v>28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</row>
    <row r="21" spans="1:55" s="1" customFormat="1" ht="15.75" customHeight="1" x14ac:dyDescent="0.2">
      <c r="A21" s="10">
        <v>20</v>
      </c>
      <c r="B21" s="8" t="s">
        <v>150</v>
      </c>
      <c r="C21" s="7" t="s">
        <v>100</v>
      </c>
      <c r="D21" s="7"/>
      <c r="E21">
        <v>137</v>
      </c>
      <c r="F21"/>
      <c r="G21" s="16">
        <f t="shared" si="0"/>
        <v>1.8978102189781021</v>
      </c>
      <c r="H21" s="16">
        <f t="shared" si="1"/>
        <v>11.102189781021899</v>
      </c>
      <c r="I21" s="18" t="s">
        <v>148</v>
      </c>
      <c r="J21"/>
      <c r="K21"/>
      <c r="L21" s="7">
        <v>397</v>
      </c>
      <c r="M21" s="11"/>
      <c r="N21" s="12" t="s">
        <v>27</v>
      </c>
      <c r="O21" s="11">
        <v>2</v>
      </c>
      <c r="P21" s="13" t="s">
        <v>28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</row>
    <row r="22" spans="1:55" s="1" customFormat="1" ht="15.75" customHeight="1" x14ac:dyDescent="0.2">
      <c r="A22" s="10">
        <v>21</v>
      </c>
      <c r="B22" s="8" t="s">
        <v>150</v>
      </c>
      <c r="C22" s="7" t="s">
        <v>101</v>
      </c>
      <c r="D22" s="7"/>
      <c r="E22">
        <v>71.8</v>
      </c>
      <c r="F22"/>
      <c r="G22" s="16">
        <f t="shared" si="0"/>
        <v>3.6211699164345403</v>
      </c>
      <c r="H22" s="16">
        <f t="shared" si="1"/>
        <v>9.3788300835654592</v>
      </c>
      <c r="I22" s="18" t="s">
        <v>148</v>
      </c>
      <c r="J22"/>
      <c r="K22"/>
      <c r="L22" s="7">
        <v>398</v>
      </c>
      <c r="M22" s="11"/>
      <c r="N22" s="12" t="s">
        <v>27</v>
      </c>
      <c r="O22" s="11">
        <v>3</v>
      </c>
      <c r="P22" s="13" t="s">
        <v>28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</row>
    <row r="23" spans="1:55" s="1" customFormat="1" ht="15.75" customHeight="1" x14ac:dyDescent="0.2">
      <c r="A23" s="8">
        <v>22</v>
      </c>
      <c r="B23" s="8" t="s">
        <v>150</v>
      </c>
      <c r="C23" s="7" t="s">
        <v>102</v>
      </c>
      <c r="D23" s="7"/>
      <c r="E23">
        <v>34.299999999999997</v>
      </c>
      <c r="F23"/>
      <c r="G23" s="16">
        <f t="shared" si="0"/>
        <v>7.5801749271137036</v>
      </c>
      <c r="H23" s="16">
        <f t="shared" si="1"/>
        <v>5.4198250728862964</v>
      </c>
      <c r="I23" s="18" t="s">
        <v>148</v>
      </c>
      <c r="J23"/>
      <c r="K23"/>
      <c r="L23" s="7">
        <v>399</v>
      </c>
      <c r="M23" s="2">
        <v>1062836</v>
      </c>
      <c r="N23" s="3" t="s">
        <v>31</v>
      </c>
      <c r="O23" s="2">
        <v>1</v>
      </c>
      <c r="P23" t="s">
        <v>30</v>
      </c>
      <c r="Q23" s="1" t="s">
        <v>143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</row>
    <row r="24" spans="1:55" s="1" customFormat="1" ht="15.75" customHeight="1" x14ac:dyDescent="0.2">
      <c r="A24" s="8">
        <v>23</v>
      </c>
      <c r="B24" s="8" t="s">
        <v>150</v>
      </c>
      <c r="C24" s="7" t="s">
        <v>103</v>
      </c>
      <c r="D24" s="7"/>
      <c r="E24">
        <v>45.1</v>
      </c>
      <c r="F24"/>
      <c r="G24" s="16">
        <f t="shared" si="0"/>
        <v>5.7649667405764964</v>
      </c>
      <c r="H24" s="16">
        <f t="shared" si="1"/>
        <v>7.2350332594235036</v>
      </c>
      <c r="I24" s="18" t="s">
        <v>148</v>
      </c>
      <c r="J24"/>
      <c r="K24"/>
      <c r="L24" s="7">
        <v>400</v>
      </c>
      <c r="M24" s="2">
        <v>1062837</v>
      </c>
      <c r="N24" s="3" t="s">
        <v>32</v>
      </c>
      <c r="O24" s="2">
        <v>1</v>
      </c>
      <c r="P24" t="s">
        <v>30</v>
      </c>
      <c r="Q24" s="1" t="s">
        <v>143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</row>
    <row r="25" spans="1:55" s="1" customFormat="1" ht="15.75" customHeight="1" x14ac:dyDescent="0.2">
      <c r="A25" s="8">
        <v>24</v>
      </c>
      <c r="B25" s="8" t="s">
        <v>150</v>
      </c>
      <c r="C25" s="7" t="s">
        <v>104</v>
      </c>
      <c r="D25" s="7"/>
      <c r="E25">
        <v>36.700000000000003</v>
      </c>
      <c r="F25"/>
      <c r="G25" s="16">
        <f t="shared" si="0"/>
        <v>7.084468664850136</v>
      </c>
      <c r="H25" s="16">
        <f t="shared" si="1"/>
        <v>5.915531335149864</v>
      </c>
      <c r="I25" s="18" t="s">
        <v>148</v>
      </c>
      <c r="J25"/>
      <c r="K25"/>
      <c r="L25" s="7">
        <v>401</v>
      </c>
      <c r="M25" s="2">
        <v>1065055</v>
      </c>
      <c r="N25" s="3" t="s">
        <v>29</v>
      </c>
      <c r="O25" s="2">
        <v>1</v>
      </c>
      <c r="P25" t="s">
        <v>30</v>
      </c>
      <c r="Q25" s="1" t="s">
        <v>143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</row>
    <row r="26" spans="1:55" s="1" customFormat="1" ht="15.75" customHeight="1" x14ac:dyDescent="0.2">
      <c r="A26" s="8">
        <v>25</v>
      </c>
      <c r="B26" s="8" t="s">
        <v>150</v>
      </c>
      <c r="C26" s="7" t="s">
        <v>105</v>
      </c>
      <c r="D26" s="7"/>
      <c r="E26">
        <v>71.3</v>
      </c>
      <c r="F26"/>
      <c r="G26" s="16">
        <f t="shared" si="0"/>
        <v>3.6465638148667603</v>
      </c>
      <c r="H26" s="16">
        <f t="shared" si="1"/>
        <v>9.3534361851332406</v>
      </c>
      <c r="I26" s="18" t="s">
        <v>148</v>
      </c>
      <c r="J26"/>
      <c r="K26"/>
      <c r="L26" s="7">
        <v>402</v>
      </c>
      <c r="M26" s="2">
        <v>1133060</v>
      </c>
      <c r="N26" s="3" t="s">
        <v>33</v>
      </c>
      <c r="O26" s="2">
        <v>1</v>
      </c>
      <c r="P26" t="s">
        <v>30</v>
      </c>
      <c r="Q26" s="1" t="s">
        <v>143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</row>
    <row r="27" spans="1:55" s="1" customFormat="1" ht="15.75" customHeight="1" x14ac:dyDescent="0.2">
      <c r="A27" s="8">
        <v>26</v>
      </c>
      <c r="B27" s="8" t="s">
        <v>150</v>
      </c>
      <c r="C27" s="7" t="s">
        <v>106</v>
      </c>
      <c r="D27" s="7"/>
      <c r="E27">
        <v>55.4</v>
      </c>
      <c r="F27"/>
      <c r="G27" s="16">
        <f t="shared" si="0"/>
        <v>4.6931407942238268</v>
      </c>
      <c r="H27" s="16">
        <f t="shared" si="1"/>
        <v>8.3068592057761741</v>
      </c>
      <c r="I27" s="18" t="s">
        <v>148</v>
      </c>
      <c r="J27"/>
      <c r="K27"/>
      <c r="L27" s="7">
        <v>403</v>
      </c>
      <c r="M27" s="2">
        <v>1281420</v>
      </c>
      <c r="N27" s="3" t="s">
        <v>34</v>
      </c>
      <c r="O27" s="2">
        <v>1</v>
      </c>
      <c r="P27" t="s">
        <v>30</v>
      </c>
      <c r="Q27" s="1" t="s">
        <v>143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</row>
    <row r="28" spans="1:55" s="1" customFormat="1" ht="15.75" customHeight="1" x14ac:dyDescent="0.2">
      <c r="A28" s="8">
        <v>27</v>
      </c>
      <c r="B28" s="8" t="s">
        <v>150</v>
      </c>
      <c r="C28" s="7" t="s">
        <v>107</v>
      </c>
      <c r="D28" s="7"/>
      <c r="E28">
        <v>161</v>
      </c>
      <c r="F28"/>
      <c r="G28" s="16">
        <f t="shared" si="0"/>
        <v>1.6149068322981366</v>
      </c>
      <c r="H28" s="16">
        <f t="shared" si="1"/>
        <v>11.385093167701864</v>
      </c>
      <c r="I28" s="18" t="s">
        <v>148</v>
      </c>
      <c r="J28"/>
      <c r="K28"/>
      <c r="L28" s="7">
        <v>404</v>
      </c>
      <c r="N28" s="5" t="s">
        <v>35</v>
      </c>
      <c r="P28" t="s">
        <v>36</v>
      </c>
      <c r="Q28" s="1" t="s">
        <v>143</v>
      </c>
    </row>
    <row r="29" spans="1:55" s="1" customFormat="1" ht="15.75" customHeight="1" x14ac:dyDescent="0.2">
      <c r="A29" s="8">
        <v>28</v>
      </c>
      <c r="B29" s="8" t="s">
        <v>150</v>
      </c>
      <c r="C29" s="7" t="s">
        <v>108</v>
      </c>
      <c r="D29" s="7"/>
      <c r="E29">
        <v>117</v>
      </c>
      <c r="F29"/>
      <c r="G29" s="16">
        <f t="shared" si="0"/>
        <v>2.2222222222222223</v>
      </c>
      <c r="H29" s="16">
        <f t="shared" si="1"/>
        <v>10.777777777777779</v>
      </c>
      <c r="I29" s="18" t="s">
        <v>148</v>
      </c>
      <c r="J29"/>
      <c r="K29"/>
      <c r="L29" s="7">
        <v>405</v>
      </c>
      <c r="N29" s="5" t="s">
        <v>37</v>
      </c>
      <c r="P29" t="s">
        <v>38</v>
      </c>
      <c r="Q29" s="1" t="s">
        <v>143</v>
      </c>
    </row>
    <row r="30" spans="1:55" s="1" customFormat="1" ht="15" customHeight="1" x14ac:dyDescent="0.2">
      <c r="A30" s="8">
        <v>29</v>
      </c>
      <c r="B30" s="8" t="s">
        <v>150</v>
      </c>
      <c r="C30" s="7" t="s">
        <v>109</v>
      </c>
      <c r="D30" s="7"/>
      <c r="E30">
        <v>81.599999999999994</v>
      </c>
      <c r="F30"/>
      <c r="G30" s="16">
        <f t="shared" si="0"/>
        <v>3.1862745098039218</v>
      </c>
      <c r="H30" s="16">
        <f t="shared" si="1"/>
        <v>9.8137254901960773</v>
      </c>
      <c r="I30" s="18" t="s">
        <v>148</v>
      </c>
      <c r="J30"/>
      <c r="K30"/>
      <c r="L30" s="7">
        <v>406</v>
      </c>
      <c r="M30" s="7">
        <v>1274126</v>
      </c>
      <c r="N30" s="7" t="s">
        <v>39</v>
      </c>
      <c r="O30" s="7">
        <v>5</v>
      </c>
      <c r="P30" t="s">
        <v>40</v>
      </c>
      <c r="Q30" s="1" t="s">
        <v>143</v>
      </c>
    </row>
    <row r="31" spans="1:55" s="1" customFormat="1" ht="15" customHeight="1" x14ac:dyDescent="0.2">
      <c r="A31" s="8">
        <v>30</v>
      </c>
      <c r="B31" s="8" t="s">
        <v>150</v>
      </c>
      <c r="C31" s="7" t="s">
        <v>110</v>
      </c>
      <c r="D31" s="7"/>
      <c r="E31">
        <v>49</v>
      </c>
      <c r="F31"/>
      <c r="G31" s="16">
        <f t="shared" si="0"/>
        <v>5.3061224489795915</v>
      </c>
      <c r="H31" s="16">
        <f t="shared" si="1"/>
        <v>7.6938775510204085</v>
      </c>
      <c r="I31" s="18" t="s">
        <v>148</v>
      </c>
      <c r="J31"/>
      <c r="K31"/>
      <c r="L31" s="7">
        <v>407</v>
      </c>
      <c r="N31" s="5" t="s">
        <v>71</v>
      </c>
      <c r="P31" t="s">
        <v>18</v>
      </c>
      <c r="Q31" s="1" t="s">
        <v>143</v>
      </c>
    </row>
    <row r="32" spans="1:55" s="1" customFormat="1" ht="15" customHeight="1" x14ac:dyDescent="0.2">
      <c r="A32" s="8">
        <v>31</v>
      </c>
      <c r="B32" s="8" t="s">
        <v>150</v>
      </c>
      <c r="C32" s="7" t="s">
        <v>111</v>
      </c>
      <c r="D32" s="7"/>
      <c r="E32">
        <v>90.4</v>
      </c>
      <c r="F32"/>
      <c r="G32" s="16">
        <f t="shared" si="0"/>
        <v>2.8761061946902653</v>
      </c>
      <c r="H32" s="16">
        <f t="shared" si="1"/>
        <v>10.123893805309734</v>
      </c>
      <c r="I32" s="18" t="s">
        <v>148</v>
      </c>
      <c r="J32"/>
      <c r="K32"/>
      <c r="L32" s="7">
        <v>408</v>
      </c>
      <c r="N32" s="5" t="s">
        <v>72</v>
      </c>
      <c r="P32" t="s">
        <v>18</v>
      </c>
      <c r="Q32" s="1" t="s">
        <v>143</v>
      </c>
    </row>
    <row r="33" spans="1:17" s="1" customFormat="1" ht="15" customHeight="1" x14ac:dyDescent="0.2">
      <c r="A33" s="8">
        <v>32</v>
      </c>
      <c r="B33" s="8" t="s">
        <v>150</v>
      </c>
      <c r="C33" s="7" t="s">
        <v>112</v>
      </c>
      <c r="D33" s="7"/>
      <c r="E33">
        <v>53</v>
      </c>
      <c r="F33"/>
      <c r="G33" s="16">
        <f t="shared" si="0"/>
        <v>4.9056603773584904</v>
      </c>
      <c r="H33" s="16">
        <f t="shared" si="1"/>
        <v>8.0943396226415096</v>
      </c>
      <c r="I33" s="18" t="s">
        <v>148</v>
      </c>
      <c r="J33"/>
      <c r="K33"/>
      <c r="L33" s="7">
        <v>409</v>
      </c>
      <c r="N33" s="5" t="s">
        <v>73</v>
      </c>
      <c r="P33" t="s">
        <v>18</v>
      </c>
      <c r="Q33" s="1" t="s">
        <v>143</v>
      </c>
    </row>
    <row r="34" spans="1:17" s="1" customFormat="1" ht="15" customHeight="1" x14ac:dyDescent="0.2">
      <c r="A34" s="8">
        <v>33</v>
      </c>
      <c r="B34" s="8" t="s">
        <v>150</v>
      </c>
      <c r="C34" s="7" t="s">
        <v>113</v>
      </c>
      <c r="D34" s="7"/>
      <c r="E34">
        <v>39.799999999999997</v>
      </c>
      <c r="F34"/>
      <c r="G34" s="16">
        <f t="shared" si="0"/>
        <v>6.5326633165829149</v>
      </c>
      <c r="H34" s="16">
        <f t="shared" si="1"/>
        <v>6.4673366834170851</v>
      </c>
      <c r="I34" s="18" t="s">
        <v>148</v>
      </c>
      <c r="J34"/>
      <c r="K34"/>
      <c r="L34" s="7">
        <v>410</v>
      </c>
      <c r="N34" s="5" t="s">
        <v>74</v>
      </c>
      <c r="P34" t="s">
        <v>18</v>
      </c>
      <c r="Q34" s="1" t="s">
        <v>143</v>
      </c>
    </row>
    <row r="35" spans="1:17" s="1" customFormat="1" ht="15" customHeight="1" x14ac:dyDescent="0.2">
      <c r="A35" s="8">
        <v>34</v>
      </c>
      <c r="B35" s="8" t="s">
        <v>150</v>
      </c>
      <c r="C35" s="7" t="s">
        <v>114</v>
      </c>
      <c r="D35" s="7"/>
      <c r="E35">
        <v>70.8</v>
      </c>
      <c r="F35"/>
      <c r="G35" s="16">
        <f t="shared" si="0"/>
        <v>3.6723163841807911</v>
      </c>
      <c r="H35" s="16">
        <f t="shared" si="1"/>
        <v>9.3276836158192094</v>
      </c>
      <c r="I35" s="18" t="s">
        <v>148</v>
      </c>
      <c r="J35"/>
      <c r="K35"/>
      <c r="L35" s="7">
        <v>411</v>
      </c>
      <c r="N35" s="5" t="s">
        <v>75</v>
      </c>
      <c r="P35" t="s">
        <v>18</v>
      </c>
      <c r="Q35" s="1" t="s">
        <v>143</v>
      </c>
    </row>
    <row r="36" spans="1:17" s="1" customFormat="1" ht="15" customHeight="1" x14ac:dyDescent="0.2">
      <c r="A36" s="8">
        <v>35</v>
      </c>
      <c r="B36" s="8" t="s">
        <v>150</v>
      </c>
      <c r="C36" s="7" t="s">
        <v>115</v>
      </c>
      <c r="D36" s="7"/>
      <c r="E36">
        <v>111</v>
      </c>
      <c r="F36"/>
      <c r="G36" s="16">
        <f t="shared" si="0"/>
        <v>2.3423423423423424</v>
      </c>
      <c r="H36" s="16">
        <f t="shared" si="1"/>
        <v>10.657657657657658</v>
      </c>
      <c r="I36" s="18" t="s">
        <v>148</v>
      </c>
      <c r="J36"/>
      <c r="K36"/>
      <c r="L36" s="7">
        <v>412</v>
      </c>
      <c r="N36" s="5" t="s">
        <v>79</v>
      </c>
      <c r="P36" t="s">
        <v>76</v>
      </c>
      <c r="Q36" s="1" t="s">
        <v>143</v>
      </c>
    </row>
    <row r="37" spans="1:17" s="1" customFormat="1" ht="15" customHeight="1" x14ac:dyDescent="0.2">
      <c r="A37" s="8">
        <v>36</v>
      </c>
      <c r="B37" s="8" t="s">
        <v>150</v>
      </c>
      <c r="C37" s="7" t="s">
        <v>116</v>
      </c>
      <c r="D37" s="7"/>
      <c r="E37">
        <v>107</v>
      </c>
      <c r="F37"/>
      <c r="G37" s="16">
        <f t="shared" si="0"/>
        <v>2.4299065420560746</v>
      </c>
      <c r="H37" s="16">
        <f t="shared" si="1"/>
        <v>10.570093457943926</v>
      </c>
      <c r="I37" s="18" t="s">
        <v>148</v>
      </c>
      <c r="J37"/>
      <c r="K37"/>
      <c r="L37" s="7">
        <v>413</v>
      </c>
      <c r="N37" s="5" t="s">
        <v>78</v>
      </c>
      <c r="P37" t="s">
        <v>77</v>
      </c>
      <c r="Q37" s="1" t="s">
        <v>143</v>
      </c>
    </row>
    <row r="38" spans="1:17" s="1" customFormat="1" ht="15" customHeight="1" x14ac:dyDescent="0.2">
      <c r="A38" s="8">
        <v>37</v>
      </c>
      <c r="B38" s="8" t="s">
        <v>151</v>
      </c>
      <c r="C38" s="7" t="s">
        <v>117</v>
      </c>
      <c r="D38" s="7"/>
      <c r="E38">
        <v>11.2</v>
      </c>
      <c r="F38">
        <v>9.8800000000000008</v>
      </c>
      <c r="G38">
        <v>25</v>
      </c>
      <c r="H38">
        <v>0</v>
      </c>
      <c r="I38" s="18" t="s">
        <v>148</v>
      </c>
      <c r="J38"/>
      <c r="K38"/>
      <c r="L38" s="7">
        <v>414</v>
      </c>
      <c r="N38" t="s">
        <v>41</v>
      </c>
      <c r="P38" t="s">
        <v>42</v>
      </c>
      <c r="Q38" s="1" t="s">
        <v>143</v>
      </c>
    </row>
    <row r="39" spans="1:17" s="1" customFormat="1" ht="15" customHeight="1" x14ac:dyDescent="0.2">
      <c r="A39" s="8">
        <v>38</v>
      </c>
      <c r="B39" s="8" t="s">
        <v>151</v>
      </c>
      <c r="C39" s="7" t="s">
        <v>118</v>
      </c>
      <c r="D39" s="7"/>
      <c r="E39">
        <v>53</v>
      </c>
      <c r="F39">
        <v>23</v>
      </c>
      <c r="G39">
        <v>25</v>
      </c>
      <c r="H39">
        <v>0</v>
      </c>
      <c r="I39" s="18" t="s">
        <v>148</v>
      </c>
      <c r="J39" s="7" t="s">
        <v>145</v>
      </c>
      <c r="K39" s="7"/>
      <c r="L39" s="7">
        <v>415</v>
      </c>
      <c r="N39" t="s">
        <v>43</v>
      </c>
      <c r="P39" t="s">
        <v>38</v>
      </c>
      <c r="Q39" s="1" t="s">
        <v>143</v>
      </c>
    </row>
    <row r="40" spans="1:17" s="1" customFormat="1" ht="15" customHeight="1" x14ac:dyDescent="0.2">
      <c r="A40" s="8">
        <v>39</v>
      </c>
      <c r="B40" s="8" t="s">
        <v>151</v>
      </c>
      <c r="C40" s="7" t="s">
        <v>119</v>
      </c>
      <c r="D40" s="7"/>
      <c r="E40">
        <v>32.5</v>
      </c>
      <c r="F40">
        <v>40.6</v>
      </c>
      <c r="G40">
        <v>25</v>
      </c>
      <c r="H40">
        <v>0</v>
      </c>
      <c r="I40" s="18" t="s">
        <v>148</v>
      </c>
      <c r="J40"/>
      <c r="K40"/>
      <c r="L40" s="7">
        <v>416</v>
      </c>
      <c r="N40" t="s">
        <v>44</v>
      </c>
      <c r="P40" t="s">
        <v>38</v>
      </c>
      <c r="Q40" s="1" t="s">
        <v>143</v>
      </c>
    </row>
    <row r="41" spans="1:17" ht="15" customHeight="1" x14ac:dyDescent="0.2">
      <c r="A41" s="8">
        <v>40</v>
      </c>
      <c r="B41" s="8" t="s">
        <v>151</v>
      </c>
      <c r="C41" s="7" t="s">
        <v>120</v>
      </c>
      <c r="D41" s="7"/>
      <c r="E41">
        <v>26.8</v>
      </c>
      <c r="F41">
        <v>32.299999999999997</v>
      </c>
      <c r="G41">
        <v>25</v>
      </c>
      <c r="H41">
        <v>0</v>
      </c>
      <c r="I41" s="18" t="s">
        <v>148</v>
      </c>
      <c r="J41"/>
      <c r="K41"/>
      <c r="L41" s="7">
        <v>417</v>
      </c>
      <c r="M41" s="1"/>
      <c r="N41" t="s">
        <v>45</v>
      </c>
      <c r="O41" s="1"/>
      <c r="P41" t="s">
        <v>38</v>
      </c>
      <c r="Q41" s="1" t="s">
        <v>143</v>
      </c>
    </row>
    <row r="42" spans="1:17" ht="15" customHeight="1" x14ac:dyDescent="0.2">
      <c r="A42" s="8">
        <v>41</v>
      </c>
      <c r="B42" s="8" t="s">
        <v>151</v>
      </c>
      <c r="C42" s="7" t="s">
        <v>121</v>
      </c>
      <c r="D42" s="7"/>
      <c r="E42">
        <v>42.7</v>
      </c>
      <c r="F42">
        <v>8.82</v>
      </c>
      <c r="G42">
        <v>25</v>
      </c>
      <c r="H42">
        <v>0</v>
      </c>
      <c r="I42" s="18" t="s">
        <v>148</v>
      </c>
      <c r="J42" s="7" t="s">
        <v>145</v>
      </c>
      <c r="K42" s="7" t="s">
        <v>143</v>
      </c>
      <c r="L42" s="7">
        <v>418</v>
      </c>
      <c r="M42" s="1"/>
      <c r="N42" t="s">
        <v>46</v>
      </c>
      <c r="O42" s="1"/>
      <c r="P42" t="s">
        <v>38</v>
      </c>
      <c r="Q42" s="1" t="s">
        <v>143</v>
      </c>
    </row>
    <row r="43" spans="1:17" ht="15" customHeight="1" x14ac:dyDescent="0.2">
      <c r="A43" s="8">
        <v>42</v>
      </c>
      <c r="B43" s="8" t="s">
        <v>151</v>
      </c>
      <c r="C43" s="7" t="s">
        <v>122</v>
      </c>
      <c r="D43" s="7"/>
      <c r="E43">
        <v>41.6</v>
      </c>
      <c r="F43">
        <v>52.7</v>
      </c>
      <c r="G43">
        <v>25</v>
      </c>
      <c r="H43">
        <v>0</v>
      </c>
      <c r="I43" s="18" t="s">
        <v>148</v>
      </c>
      <c r="J43"/>
      <c r="K43"/>
      <c r="L43" s="7">
        <v>419</v>
      </c>
      <c r="M43" s="1"/>
      <c r="N43" t="s">
        <v>47</v>
      </c>
      <c r="O43" s="1"/>
      <c r="P43" t="s">
        <v>38</v>
      </c>
      <c r="Q43" s="1" t="s">
        <v>143</v>
      </c>
    </row>
    <row r="44" spans="1:17" ht="15" customHeight="1" x14ac:dyDescent="0.2">
      <c r="A44" s="8">
        <v>43</v>
      </c>
      <c r="B44" s="8" t="s">
        <v>151</v>
      </c>
      <c r="C44" s="7" t="s">
        <v>123</v>
      </c>
      <c r="D44" s="7"/>
      <c r="E44">
        <v>18.399999999999999</v>
      </c>
      <c r="F44">
        <v>19.399999999999999</v>
      </c>
      <c r="G44">
        <v>25</v>
      </c>
      <c r="H44">
        <v>0</v>
      </c>
      <c r="I44" s="18" t="s">
        <v>148</v>
      </c>
      <c r="J44"/>
      <c r="K44"/>
      <c r="L44" s="7">
        <v>420</v>
      </c>
      <c r="M44" s="1"/>
      <c r="N44" t="s">
        <v>48</v>
      </c>
      <c r="O44" s="1"/>
      <c r="P44" t="s">
        <v>38</v>
      </c>
      <c r="Q44" s="1" t="s">
        <v>143</v>
      </c>
    </row>
    <row r="45" spans="1:17" ht="15" customHeight="1" x14ac:dyDescent="0.2">
      <c r="A45" s="8">
        <v>44</v>
      </c>
      <c r="B45" s="8" t="s">
        <v>151</v>
      </c>
      <c r="C45" s="7" t="s">
        <v>124</v>
      </c>
      <c r="D45" s="7"/>
      <c r="E45">
        <v>23.4</v>
      </c>
      <c r="F45">
        <v>23.7</v>
      </c>
      <c r="G45">
        <v>25</v>
      </c>
      <c r="H45">
        <v>0</v>
      </c>
      <c r="I45" s="18" t="s">
        <v>148</v>
      </c>
      <c r="J45"/>
      <c r="K45"/>
      <c r="L45" s="7">
        <v>421</v>
      </c>
      <c r="M45" s="1"/>
      <c r="N45" t="s">
        <v>49</v>
      </c>
      <c r="O45" s="1"/>
      <c r="P45" t="s">
        <v>50</v>
      </c>
      <c r="Q45" s="1" t="s">
        <v>143</v>
      </c>
    </row>
    <row r="46" spans="1:17" ht="15" customHeight="1" x14ac:dyDescent="0.2">
      <c r="A46" s="8">
        <v>45</v>
      </c>
      <c r="B46" s="8" t="s">
        <v>151</v>
      </c>
      <c r="C46" s="7" t="s">
        <v>125</v>
      </c>
      <c r="D46" s="7"/>
      <c r="E46">
        <v>16</v>
      </c>
      <c r="F46">
        <v>5.68</v>
      </c>
      <c r="G46">
        <v>25</v>
      </c>
      <c r="H46">
        <v>0</v>
      </c>
      <c r="I46" s="18" t="s">
        <v>154</v>
      </c>
      <c r="J46" s="7" t="s">
        <v>145</v>
      </c>
      <c r="K46" s="7" t="s">
        <v>143</v>
      </c>
      <c r="L46" s="7">
        <v>422</v>
      </c>
      <c r="M46" s="1"/>
      <c r="N46" t="s">
        <v>51</v>
      </c>
      <c r="O46" s="1"/>
      <c r="P46" t="s">
        <v>50</v>
      </c>
      <c r="Q46" s="1" t="s">
        <v>143</v>
      </c>
    </row>
    <row r="47" spans="1:17" ht="15" customHeight="1" x14ac:dyDescent="0.2">
      <c r="A47" s="8">
        <v>46</v>
      </c>
      <c r="B47" s="8" t="s">
        <v>151</v>
      </c>
      <c r="C47" s="7" t="s">
        <v>126</v>
      </c>
      <c r="D47" s="7"/>
      <c r="E47">
        <v>6.98</v>
      </c>
      <c r="F47">
        <v>6.88</v>
      </c>
      <c r="G47">
        <v>25</v>
      </c>
      <c r="H47">
        <v>0</v>
      </c>
      <c r="I47" s="18" t="s">
        <v>154</v>
      </c>
      <c r="J47"/>
      <c r="K47"/>
      <c r="L47" s="7">
        <v>423</v>
      </c>
      <c r="M47" s="1"/>
      <c r="N47" t="s">
        <v>52</v>
      </c>
      <c r="O47" s="1"/>
      <c r="P47" t="s">
        <v>50</v>
      </c>
      <c r="Q47" s="1" t="s">
        <v>143</v>
      </c>
    </row>
    <row r="48" spans="1:17" ht="15" customHeight="1" x14ac:dyDescent="0.2">
      <c r="A48" s="8">
        <v>47</v>
      </c>
      <c r="B48" s="8" t="s">
        <v>151</v>
      </c>
      <c r="C48" s="7" t="s">
        <v>127</v>
      </c>
      <c r="D48" s="7"/>
      <c r="E48">
        <v>11.9</v>
      </c>
      <c r="F48">
        <v>3.22</v>
      </c>
      <c r="G48">
        <v>25</v>
      </c>
      <c r="H48">
        <v>0</v>
      </c>
      <c r="I48" s="18" t="s">
        <v>154</v>
      </c>
      <c r="J48" s="7" t="s">
        <v>145</v>
      </c>
      <c r="K48" s="7" t="s">
        <v>143</v>
      </c>
      <c r="L48" s="7">
        <v>424</v>
      </c>
      <c r="N48" t="s">
        <v>53</v>
      </c>
      <c r="P48" t="s">
        <v>54</v>
      </c>
      <c r="Q48" s="1" t="s">
        <v>143</v>
      </c>
    </row>
    <row r="49" spans="1:17" ht="15" customHeight="1" x14ac:dyDescent="0.2">
      <c r="A49" s="8">
        <v>48</v>
      </c>
      <c r="B49" s="8" t="s">
        <v>151</v>
      </c>
      <c r="C49" s="7" t="s">
        <v>128</v>
      </c>
      <c r="D49" s="7"/>
      <c r="E49">
        <v>9.89</v>
      </c>
      <c r="F49">
        <v>10.1</v>
      </c>
      <c r="G49">
        <v>25</v>
      </c>
      <c r="H49">
        <v>0</v>
      </c>
      <c r="I49" s="18" t="s">
        <v>148</v>
      </c>
      <c r="J49"/>
      <c r="K49"/>
      <c r="L49" s="7">
        <v>425</v>
      </c>
      <c r="N49" t="s">
        <v>55</v>
      </c>
      <c r="P49" t="s">
        <v>54</v>
      </c>
      <c r="Q49" s="1" t="s">
        <v>143</v>
      </c>
    </row>
    <row r="50" spans="1:17" ht="15" customHeight="1" x14ac:dyDescent="0.2">
      <c r="A50" s="8">
        <v>49</v>
      </c>
      <c r="B50" s="8" t="s">
        <v>151</v>
      </c>
      <c r="C50" s="7" t="s">
        <v>129</v>
      </c>
      <c r="D50" s="7"/>
      <c r="E50">
        <v>22.6</v>
      </c>
      <c r="F50">
        <v>22.1</v>
      </c>
      <c r="G50">
        <v>25</v>
      </c>
      <c r="H50">
        <v>0</v>
      </c>
      <c r="I50" s="18" t="s">
        <v>148</v>
      </c>
      <c r="J50"/>
      <c r="K50"/>
      <c r="L50" s="7">
        <v>426</v>
      </c>
      <c r="N50" t="s">
        <v>56</v>
      </c>
      <c r="P50" t="s">
        <v>54</v>
      </c>
      <c r="Q50" s="1" t="s">
        <v>143</v>
      </c>
    </row>
    <row r="51" spans="1:17" ht="15" customHeight="1" x14ac:dyDescent="0.2">
      <c r="A51" s="8">
        <v>50</v>
      </c>
      <c r="B51" s="8" t="s">
        <v>151</v>
      </c>
      <c r="C51" s="7" t="s">
        <v>130</v>
      </c>
      <c r="D51" s="7"/>
      <c r="E51">
        <v>20.3</v>
      </c>
      <c r="F51">
        <v>5.66</v>
      </c>
      <c r="G51">
        <v>25</v>
      </c>
      <c r="H51">
        <v>0</v>
      </c>
      <c r="I51" s="18" t="s">
        <v>154</v>
      </c>
      <c r="J51" s="7" t="s">
        <v>145</v>
      </c>
      <c r="K51" s="7" t="s">
        <v>143</v>
      </c>
      <c r="L51" s="7">
        <v>427</v>
      </c>
      <c r="N51" t="s">
        <v>57</v>
      </c>
      <c r="P51" t="s">
        <v>58</v>
      </c>
      <c r="Q51" s="1" t="s">
        <v>143</v>
      </c>
    </row>
    <row r="52" spans="1:17" ht="15" customHeight="1" x14ac:dyDescent="0.2">
      <c r="A52" s="8">
        <v>51</v>
      </c>
      <c r="B52" s="8" t="s">
        <v>151</v>
      </c>
      <c r="C52" s="7" t="s">
        <v>131</v>
      </c>
      <c r="D52" s="7"/>
      <c r="E52">
        <v>18.5</v>
      </c>
      <c r="F52">
        <v>5.17</v>
      </c>
      <c r="G52">
        <v>25</v>
      </c>
      <c r="H52">
        <v>0</v>
      </c>
      <c r="I52" s="18" t="s">
        <v>154</v>
      </c>
      <c r="J52" s="7" t="s">
        <v>145</v>
      </c>
      <c r="K52" s="7" t="s">
        <v>143</v>
      </c>
      <c r="L52" s="7">
        <v>428</v>
      </c>
      <c r="N52" t="s">
        <v>59</v>
      </c>
      <c r="P52" t="s">
        <v>58</v>
      </c>
      <c r="Q52" s="1" t="s">
        <v>143</v>
      </c>
    </row>
    <row r="53" spans="1:17" s="15" customFormat="1" ht="15" customHeight="1" x14ac:dyDescent="0.2">
      <c r="A53" s="14">
        <v>52</v>
      </c>
      <c r="B53" s="8" t="s">
        <v>151</v>
      </c>
      <c r="C53" s="15" t="s">
        <v>132</v>
      </c>
      <c r="E53" s="15">
        <v>50</v>
      </c>
      <c r="F53" s="15">
        <v>21.9</v>
      </c>
      <c r="G53">
        <v>25</v>
      </c>
      <c r="H53">
        <v>0</v>
      </c>
      <c r="I53" s="19"/>
      <c r="J53" s="15" t="s">
        <v>145</v>
      </c>
      <c r="L53" s="15">
        <v>429</v>
      </c>
      <c r="N53" s="15" t="s">
        <v>60</v>
      </c>
      <c r="P53" s="15" t="s">
        <v>61</v>
      </c>
    </row>
    <row r="54" spans="1:17" s="15" customFormat="1" ht="15" customHeight="1" x14ac:dyDescent="0.2">
      <c r="A54" s="14">
        <v>53</v>
      </c>
      <c r="B54" s="8" t="s">
        <v>151</v>
      </c>
      <c r="C54" s="15" t="s">
        <v>133</v>
      </c>
      <c r="E54" s="15">
        <v>51.7</v>
      </c>
      <c r="F54" s="15">
        <v>18.8</v>
      </c>
      <c r="G54">
        <v>25</v>
      </c>
      <c r="H54">
        <v>0</v>
      </c>
      <c r="I54" s="19"/>
      <c r="J54" s="15" t="s">
        <v>145</v>
      </c>
      <c r="L54" s="15">
        <v>430</v>
      </c>
      <c r="N54" s="15" t="s">
        <v>62</v>
      </c>
      <c r="P54" s="15" t="s">
        <v>61</v>
      </c>
    </row>
    <row r="55" spans="1:17" s="15" customFormat="1" ht="15" customHeight="1" x14ac:dyDescent="0.2">
      <c r="A55" s="14">
        <v>54</v>
      </c>
      <c r="B55" s="8" t="s">
        <v>151</v>
      </c>
      <c r="C55" s="15" t="s">
        <v>134</v>
      </c>
      <c r="E55" s="15">
        <v>39.299999999999997</v>
      </c>
      <c r="F55" s="15">
        <v>10.1</v>
      </c>
      <c r="G55">
        <v>25</v>
      </c>
      <c r="H55">
        <v>0</v>
      </c>
      <c r="I55" s="19"/>
      <c r="J55" s="15" t="s">
        <v>145</v>
      </c>
      <c r="L55" s="15">
        <v>431</v>
      </c>
      <c r="N55" s="15" t="s">
        <v>63</v>
      </c>
      <c r="P55" s="15" t="s">
        <v>61</v>
      </c>
    </row>
    <row r="56" spans="1:17" s="15" customFormat="1" ht="15" customHeight="1" x14ac:dyDescent="0.2">
      <c r="A56" s="14">
        <v>55</v>
      </c>
      <c r="B56" s="8" t="s">
        <v>151</v>
      </c>
      <c r="C56" s="15" t="s">
        <v>135</v>
      </c>
      <c r="E56" s="15">
        <v>95.2</v>
      </c>
      <c r="F56" s="15">
        <v>24.2</v>
      </c>
      <c r="G56">
        <v>25</v>
      </c>
      <c r="H56">
        <v>0</v>
      </c>
      <c r="I56" s="19"/>
      <c r="J56" s="15" t="s">
        <v>145</v>
      </c>
      <c r="L56" s="15">
        <v>432</v>
      </c>
      <c r="N56" s="15" t="s">
        <v>64</v>
      </c>
      <c r="P56" s="15" t="s">
        <v>61</v>
      </c>
    </row>
    <row r="57" spans="1:17" ht="15" customHeight="1" x14ac:dyDescent="0.2">
      <c r="A57" s="8">
        <v>56</v>
      </c>
      <c r="B57" s="8" t="s">
        <v>151</v>
      </c>
      <c r="C57" s="7" t="s">
        <v>136</v>
      </c>
      <c r="D57" s="7"/>
      <c r="E57">
        <v>40.200000000000003</v>
      </c>
      <c r="F57">
        <v>10.4</v>
      </c>
      <c r="G57">
        <v>25</v>
      </c>
      <c r="H57">
        <v>0</v>
      </c>
      <c r="I57" s="18" t="s">
        <v>148</v>
      </c>
      <c r="J57" s="7" t="s">
        <v>145</v>
      </c>
      <c r="K57" s="7"/>
      <c r="L57" s="7">
        <v>433</v>
      </c>
      <c r="N57" t="s">
        <v>65</v>
      </c>
      <c r="P57" t="s">
        <v>42</v>
      </c>
      <c r="Q57" s="1" t="s">
        <v>143</v>
      </c>
    </row>
    <row r="58" spans="1:17" ht="15" customHeight="1" x14ac:dyDescent="0.2">
      <c r="A58" s="8">
        <v>57</v>
      </c>
      <c r="B58" s="8" t="s">
        <v>151</v>
      </c>
      <c r="C58" s="7" t="s">
        <v>137</v>
      </c>
      <c r="D58" s="7"/>
      <c r="E58">
        <v>7.34</v>
      </c>
      <c r="F58">
        <v>6.13</v>
      </c>
      <c r="G58">
        <v>25</v>
      </c>
      <c r="H58">
        <v>0</v>
      </c>
      <c r="I58" s="18" t="s">
        <v>154</v>
      </c>
      <c r="J58"/>
      <c r="K58"/>
      <c r="L58" s="7">
        <v>434</v>
      </c>
      <c r="N58" t="s">
        <v>66</v>
      </c>
      <c r="P58" t="s">
        <v>67</v>
      </c>
      <c r="Q58" s="1" t="s">
        <v>143</v>
      </c>
    </row>
    <row r="59" spans="1:17" ht="15" customHeight="1" x14ac:dyDescent="0.2">
      <c r="A59" s="8">
        <v>58</v>
      </c>
      <c r="B59" s="8" t="s">
        <v>151</v>
      </c>
      <c r="C59" s="7" t="s">
        <v>138</v>
      </c>
      <c r="D59" s="7"/>
      <c r="E59">
        <v>11.3</v>
      </c>
      <c r="F59">
        <v>3.31</v>
      </c>
      <c r="G59">
        <v>25</v>
      </c>
      <c r="H59">
        <v>0</v>
      </c>
      <c r="I59" s="18" t="s">
        <v>154</v>
      </c>
      <c r="J59" s="7" t="s">
        <v>145</v>
      </c>
      <c r="K59" s="7" t="s">
        <v>143</v>
      </c>
      <c r="L59" s="7">
        <v>435</v>
      </c>
      <c r="N59" t="s">
        <v>68</v>
      </c>
      <c r="P59" t="s">
        <v>67</v>
      </c>
      <c r="Q59" s="1" t="s">
        <v>143</v>
      </c>
    </row>
    <row r="60" spans="1:17" ht="15" customHeight="1" x14ac:dyDescent="0.2">
      <c r="A60" s="8">
        <v>59</v>
      </c>
      <c r="B60" s="8" t="s">
        <v>151</v>
      </c>
      <c r="C60" s="7" t="s">
        <v>139</v>
      </c>
      <c r="D60" s="7"/>
      <c r="E60">
        <v>11.8</v>
      </c>
      <c r="F60">
        <v>2.69</v>
      </c>
      <c r="G60">
        <v>25</v>
      </c>
      <c r="H60">
        <v>0</v>
      </c>
      <c r="I60" s="18" t="s">
        <v>154</v>
      </c>
      <c r="J60" s="7" t="s">
        <v>145</v>
      </c>
      <c r="K60" s="7" t="s">
        <v>143</v>
      </c>
      <c r="L60" s="7">
        <v>436</v>
      </c>
      <c r="N60" t="s">
        <v>69</v>
      </c>
      <c r="P60" t="s">
        <v>67</v>
      </c>
      <c r="Q60" s="1" t="s">
        <v>143</v>
      </c>
    </row>
    <row r="61" spans="1:17" ht="15" customHeight="1" x14ac:dyDescent="0.2">
      <c r="A61" s="8">
        <v>60</v>
      </c>
      <c r="B61" s="8" t="s">
        <v>151</v>
      </c>
      <c r="C61" s="7" t="s">
        <v>140</v>
      </c>
      <c r="D61" s="7"/>
      <c r="E61">
        <v>5.55</v>
      </c>
      <c r="F61">
        <v>6.94</v>
      </c>
      <c r="G61">
        <v>25</v>
      </c>
      <c r="H61">
        <v>0</v>
      </c>
      <c r="I61" s="18" t="s">
        <v>154</v>
      </c>
      <c r="J61" s="7" t="s">
        <v>145</v>
      </c>
      <c r="K61" s="7" t="s">
        <v>143</v>
      </c>
      <c r="L61" s="7">
        <v>437</v>
      </c>
      <c r="N61" t="s">
        <v>70</v>
      </c>
      <c r="P61" t="s">
        <v>67</v>
      </c>
      <c r="Q61" s="1" t="s">
        <v>143</v>
      </c>
    </row>
  </sheetData>
  <phoneticPr fontId="4" type="noConversion"/>
  <hyperlinks>
    <hyperlink ref="P36" r:id="rId1" display="http://www.efloras.org/florataxon.aspx?flora_id=1&amp;taxon_id=233501071" xr:uid="{3ADA4FDF-ECE9-4C4D-A7A8-01AD5A6B2CC9}"/>
  </hyperlinks>
  <pageMargins left="0.7" right="0.7" top="0.75" bottom="0.75" header="0" footer="0"/>
  <pageSetup scale="13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273A0-AC3F-1B4E-AFA6-DDD20BC06ABD}">
  <dimension ref="A1:F22"/>
  <sheetViews>
    <sheetView zoomScale="137" workbookViewId="0">
      <selection activeCell="E25" sqref="E25"/>
    </sheetView>
  </sheetViews>
  <sheetFormatPr baseColWidth="10" defaultRowHeight="15" x14ac:dyDescent="0.2"/>
  <sheetData>
    <row r="1" spans="1:6" x14ac:dyDescent="0.2">
      <c r="A1" s="8">
        <v>37</v>
      </c>
      <c r="B1" s="7" t="s">
        <v>117</v>
      </c>
      <c r="C1">
        <v>11.2</v>
      </c>
      <c r="D1">
        <v>9.8800000000000008</v>
      </c>
    </row>
    <row r="2" spans="1:6" x14ac:dyDescent="0.2">
      <c r="A2" s="8">
        <v>38</v>
      </c>
      <c r="B2" s="7" t="s">
        <v>118</v>
      </c>
      <c r="C2">
        <v>53</v>
      </c>
      <c r="D2">
        <v>23</v>
      </c>
      <c r="E2" s="7" t="s">
        <v>145</v>
      </c>
      <c r="F2" s="7"/>
    </row>
    <row r="3" spans="1:6" x14ac:dyDescent="0.2">
      <c r="A3" s="8">
        <v>39</v>
      </c>
      <c r="B3" s="7" t="s">
        <v>119</v>
      </c>
      <c r="C3">
        <v>32.5</v>
      </c>
      <c r="D3">
        <v>40.6</v>
      </c>
    </row>
    <row r="4" spans="1:6" x14ac:dyDescent="0.2">
      <c r="A4" s="8">
        <v>40</v>
      </c>
      <c r="B4" s="7" t="s">
        <v>120</v>
      </c>
      <c r="C4">
        <v>26.8</v>
      </c>
      <c r="D4">
        <v>32.299999999999997</v>
      </c>
    </row>
    <row r="5" spans="1:6" x14ac:dyDescent="0.2">
      <c r="A5" s="8">
        <v>41</v>
      </c>
      <c r="B5" s="7" t="s">
        <v>121</v>
      </c>
      <c r="C5">
        <v>42.7</v>
      </c>
      <c r="D5">
        <v>8.82</v>
      </c>
      <c r="E5" s="7" t="s">
        <v>145</v>
      </c>
      <c r="F5" s="7" t="s">
        <v>143</v>
      </c>
    </row>
    <row r="6" spans="1:6" x14ac:dyDescent="0.2">
      <c r="A6" s="8">
        <v>42</v>
      </c>
      <c r="B6" s="7" t="s">
        <v>122</v>
      </c>
      <c r="C6">
        <v>41.6</v>
      </c>
      <c r="D6">
        <v>52.7</v>
      </c>
    </row>
    <row r="7" spans="1:6" x14ac:dyDescent="0.2">
      <c r="A7" s="8">
        <v>43</v>
      </c>
      <c r="B7" s="7" t="s">
        <v>123</v>
      </c>
      <c r="C7">
        <v>18.399999999999999</v>
      </c>
      <c r="D7">
        <v>19.399999999999999</v>
      </c>
    </row>
    <row r="8" spans="1:6" x14ac:dyDescent="0.2">
      <c r="A8" s="8">
        <v>44</v>
      </c>
      <c r="B8" s="7" t="s">
        <v>124</v>
      </c>
      <c r="C8">
        <v>23.4</v>
      </c>
      <c r="D8">
        <v>23.7</v>
      </c>
    </row>
    <row r="10" spans="1:6" x14ac:dyDescent="0.2">
      <c r="A10" s="8">
        <v>45</v>
      </c>
      <c r="B10" s="7" t="s">
        <v>125</v>
      </c>
      <c r="C10">
        <v>16</v>
      </c>
      <c r="D10">
        <v>5.68</v>
      </c>
      <c r="E10" s="7" t="s">
        <v>145</v>
      </c>
      <c r="F10" s="7" t="s">
        <v>143</v>
      </c>
    </row>
    <row r="11" spans="1:6" x14ac:dyDescent="0.2">
      <c r="A11" s="8">
        <v>46</v>
      </c>
      <c r="B11" s="7" t="s">
        <v>126</v>
      </c>
      <c r="C11">
        <v>6.98</v>
      </c>
      <c r="D11">
        <v>6.88</v>
      </c>
    </row>
    <row r="12" spans="1:6" x14ac:dyDescent="0.2">
      <c r="A12" s="8">
        <v>47</v>
      </c>
      <c r="B12" s="7" t="s">
        <v>127</v>
      </c>
      <c r="C12">
        <v>11.9</v>
      </c>
      <c r="D12">
        <v>3.22</v>
      </c>
      <c r="E12" s="7" t="s">
        <v>145</v>
      </c>
      <c r="F12" s="7" t="s">
        <v>143</v>
      </c>
    </row>
    <row r="13" spans="1:6" x14ac:dyDescent="0.2">
      <c r="A13" s="8">
        <v>48</v>
      </c>
      <c r="B13" s="7" t="s">
        <v>128</v>
      </c>
      <c r="C13">
        <v>9.89</v>
      </c>
      <c r="D13">
        <v>10.1</v>
      </c>
    </row>
    <row r="14" spans="1:6" x14ac:dyDescent="0.2">
      <c r="A14" s="8">
        <v>49</v>
      </c>
      <c r="B14" s="7" t="s">
        <v>129</v>
      </c>
      <c r="C14">
        <v>22.6</v>
      </c>
      <c r="D14">
        <v>22.1</v>
      </c>
    </row>
    <row r="15" spans="1:6" x14ac:dyDescent="0.2">
      <c r="A15" s="8">
        <v>50</v>
      </c>
      <c r="B15" s="7" t="s">
        <v>130</v>
      </c>
      <c r="C15">
        <v>20.3</v>
      </c>
      <c r="D15">
        <v>5.66</v>
      </c>
      <c r="E15" s="7" t="s">
        <v>145</v>
      </c>
      <c r="F15" s="7" t="s">
        <v>143</v>
      </c>
    </row>
    <row r="16" spans="1:6" x14ac:dyDescent="0.2">
      <c r="A16" s="8">
        <v>51</v>
      </c>
      <c r="B16" s="7" t="s">
        <v>131</v>
      </c>
      <c r="C16">
        <v>18.5</v>
      </c>
      <c r="D16">
        <v>5.17</v>
      </c>
      <c r="E16" s="7" t="s">
        <v>145</v>
      </c>
      <c r="F16" s="7" t="s">
        <v>143</v>
      </c>
    </row>
    <row r="17" spans="1:6" x14ac:dyDescent="0.2">
      <c r="A17" s="8">
        <v>56</v>
      </c>
      <c r="B17" s="7" t="s">
        <v>136</v>
      </c>
      <c r="C17">
        <v>40.200000000000003</v>
      </c>
      <c r="D17">
        <v>10.4</v>
      </c>
      <c r="E17" s="7" t="s">
        <v>145</v>
      </c>
      <c r="F17" s="7"/>
    </row>
    <row r="19" spans="1:6" x14ac:dyDescent="0.2">
      <c r="A19" s="8">
        <v>57</v>
      </c>
      <c r="B19" s="7" t="s">
        <v>137</v>
      </c>
      <c r="C19">
        <v>7.34</v>
      </c>
      <c r="D19">
        <v>6.13</v>
      </c>
    </row>
    <row r="20" spans="1:6" x14ac:dyDescent="0.2">
      <c r="A20" s="8">
        <v>58</v>
      </c>
      <c r="B20" s="7" t="s">
        <v>138</v>
      </c>
      <c r="C20">
        <v>11.3</v>
      </c>
      <c r="D20">
        <v>3.31</v>
      </c>
      <c r="E20" s="7" t="s">
        <v>145</v>
      </c>
      <c r="F20" s="7" t="s">
        <v>143</v>
      </c>
    </row>
    <row r="21" spans="1:6" x14ac:dyDescent="0.2">
      <c r="A21" s="8">
        <v>59</v>
      </c>
      <c r="B21" s="7" t="s">
        <v>139</v>
      </c>
      <c r="C21">
        <v>11.8</v>
      </c>
      <c r="D21">
        <v>2.69</v>
      </c>
      <c r="E21" s="7" t="s">
        <v>145</v>
      </c>
      <c r="F21" s="7" t="s">
        <v>143</v>
      </c>
    </row>
    <row r="22" spans="1:6" x14ac:dyDescent="0.2">
      <c r="A22" s="8">
        <v>60</v>
      </c>
      <c r="B22" s="7" t="s">
        <v>140</v>
      </c>
      <c r="C22">
        <v>5.55</v>
      </c>
      <c r="D22">
        <v>6.94</v>
      </c>
      <c r="E22" s="7" t="s">
        <v>145</v>
      </c>
      <c r="F22" s="7" t="s">
        <v>143</v>
      </c>
    </row>
  </sheetData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d1cc8434-691a-4797-83e1-dcc9726b69c0" xsi:nil="true"/>
    <_ip_UnifiedCompliancePolicyProperties xmlns="http://schemas.microsoft.com/sharepoint/v3" xsi:nil="true"/>
    <lcf76f155ced4ddcb4097134ff3c332f xmlns="2a80cc35-9f79-4cbf-a8b4-f259617c00c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E407455DB15F429C332EFB2CC833B9" ma:contentTypeVersion="16" ma:contentTypeDescription="Create a new document." ma:contentTypeScope="" ma:versionID="e65bdc10a34b5d85422609d792258cee">
  <xsd:schema xmlns:xsd="http://www.w3.org/2001/XMLSchema" xmlns:xs="http://www.w3.org/2001/XMLSchema" xmlns:p="http://schemas.microsoft.com/office/2006/metadata/properties" xmlns:ns1="http://schemas.microsoft.com/sharepoint/v3" xmlns:ns2="2a80cc35-9f79-4cbf-a8b4-f259617c00c0" xmlns:ns3="d1cc8434-691a-4797-83e1-dcc9726b69c0" targetNamespace="http://schemas.microsoft.com/office/2006/metadata/properties" ma:root="true" ma:fieldsID="75b3dfc4fdab91ba3b608edf94d3e15e" ns1:_="" ns2:_="" ns3:_="">
    <xsd:import namespace="http://schemas.microsoft.com/sharepoint/v3"/>
    <xsd:import namespace="2a80cc35-9f79-4cbf-a8b4-f259617c00c0"/>
    <xsd:import namespace="d1cc8434-691a-4797-83e1-dcc9726b69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0cc35-9f79-4cbf-a8b4-f259617c00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cc9126c-bc3a-44e7-9800-71a1afaec9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c8434-691a-4797-83e1-dcc9726b69c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4487c7b-6dc2-4983-930d-4f5e3c3dead6}" ma:internalName="TaxCatchAll" ma:showField="CatchAllData" ma:web="d1cc8434-691a-4797-83e1-dcc9726b69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E26B80-CB81-4536-8C35-A1EBA7C2B976}">
  <ds:schemaRefs>
    <ds:schemaRef ds:uri="http://www.w3.org/XML/1998/namespace"/>
    <ds:schemaRef ds:uri="http://purl.org/dc/terms/"/>
    <ds:schemaRef ds:uri="d1cc8434-691a-4797-83e1-dcc9726b69c0"/>
    <ds:schemaRef ds:uri="http://schemas.microsoft.com/office/infopath/2007/PartnerControls"/>
    <ds:schemaRef ds:uri="http://schemas.microsoft.com/sharepoint/v3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2a80cc35-9f79-4cbf-a8b4-f259617c00c0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412988B-3A36-408F-8F73-3A23BF2D5E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C48235-D602-4E43-9666-6507F3A508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a80cc35-9f79-4cbf-a8b4-f259617c00c0"/>
    <ds:schemaRef ds:uri="d1cc8434-691a-4797-83e1-dcc9726b69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 Kuo</cp:lastModifiedBy>
  <cp:lastPrinted>2026-06-23T19:49:45Z</cp:lastPrinted>
  <dcterms:created xsi:type="dcterms:W3CDTF">2026-06-15T03:18:04Z</dcterms:created>
  <dcterms:modified xsi:type="dcterms:W3CDTF">2026-06-29T21:07:44Z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0x01010040E407455DB15F429C332EFB2CC833B9</vt:lpwstr>
  </property>
  <property fmtid="{D5CDD505-2E9C-101B-9397-08002B2CF9AE}" pid="3" name="MediaServiceImageTags">
    <vt:lpwstr/>
  </property>
</Properties>
</file>